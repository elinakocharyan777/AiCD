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elina\new_folder\new_folder\SET\set5-a3\"/>
    </mc:Choice>
  </mc:AlternateContent>
  <xr:revisionPtr revIDLastSave="0" documentId="8_{E2BBD08B-221A-443B-9148-465D9E9A8E2B}" xr6:coauthVersionLast="47" xr6:coauthVersionMax="47" xr10:uidLastSave="{00000000-0000-0000-0000-000000000000}"/>
  <bookViews>
    <workbookView xWindow="-108" yWindow="-108" windowWidth="23256" windowHeight="12456" xr2:uid="{4E06F680-E07F-4DF4-8C65-7F864883CCA3}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1" l="1"/>
  <c r="K3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" i="1"/>
</calcChain>
</file>

<file path=xl/sharedStrings.xml><?xml version="1.0" encoding="utf-8"?>
<sst xmlns="http://schemas.openxmlformats.org/spreadsheetml/2006/main" count="8" uniqueCount="8">
  <si>
    <t>step</t>
  </si>
  <si>
    <t>processed</t>
  </si>
  <si>
    <t>F0_mean</t>
  </si>
  <si>
    <t>Nt_mean</t>
  </si>
  <si>
    <t>Nt_sd</t>
  </si>
  <si>
    <t>Nt_minus_sd</t>
  </si>
  <si>
    <t>Nt_plus_sd</t>
  </si>
  <si>
    <t>rel_err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</si>
</sst>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E4478-9031-44D1-8D50-A40B43D72708}">
  <dimension ref="A1:K21"/>
  <sheetViews>
    <sheetView tabSelected="1" zoomScaleNormal="100" workbookViewId="0">
      <selection activeCell="M8" sqref="M8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K1">
        <v>12</v>
      </c>
    </row>
    <row r="2" spans="1:11" x14ac:dyDescent="0.3">
      <c r="A2">
        <v>0</v>
      </c>
      <c r="B2">
        <v>5000</v>
      </c>
      <c r="C2">
        <v>4887.1000000000004</v>
      </c>
      <c r="D2">
        <v>5964.0460499999999</v>
      </c>
      <c r="E2">
        <v>48.203212000000001</v>
      </c>
      <c r="F2">
        <v>5915.8428379999996</v>
      </c>
      <c r="G2">
        <v>6012.2492620000003</v>
      </c>
      <c r="H2">
        <f>ABS(D2-C2)/C2</f>
        <v>0.22036505289435443</v>
      </c>
      <c r="K2">
        <f>1.04/SQRT(2^K1)</f>
        <v>1.6250000000000001E-2</v>
      </c>
    </row>
    <row r="3" spans="1:11" x14ac:dyDescent="0.3">
      <c r="A3">
        <v>1</v>
      </c>
      <c r="B3">
        <v>10000</v>
      </c>
      <c r="C3">
        <v>9712.8666670000002</v>
      </c>
      <c r="D3">
        <v>9993.0117559999999</v>
      </c>
      <c r="E3">
        <v>124.123189</v>
      </c>
      <c r="F3">
        <v>9868.888567</v>
      </c>
      <c r="G3">
        <v>10117.134945</v>
      </c>
      <c r="H3">
        <f t="shared" ref="H3:H21" si="0">ABS(D3-C3)/C3</f>
        <v>2.8842678336335865E-2</v>
      </c>
      <c r="K3">
        <f>1.3/SQRT(2^K1)</f>
        <v>2.0312500000000001E-2</v>
      </c>
    </row>
    <row r="4" spans="1:11" x14ac:dyDescent="0.3">
      <c r="A4">
        <v>2</v>
      </c>
      <c r="B4">
        <v>15000</v>
      </c>
      <c r="C4">
        <v>14529.566666999999</v>
      </c>
      <c r="D4">
        <v>14552.515804999999</v>
      </c>
      <c r="E4">
        <v>187.41896700000001</v>
      </c>
      <c r="F4">
        <v>14365.096839</v>
      </c>
      <c r="G4">
        <v>14739.934772000001</v>
      </c>
      <c r="H4">
        <f t="shared" si="0"/>
        <v>1.5794784886546368E-3</v>
      </c>
    </row>
    <row r="5" spans="1:11" x14ac:dyDescent="0.3">
      <c r="A5">
        <v>3</v>
      </c>
      <c r="B5">
        <v>20000</v>
      </c>
      <c r="C5">
        <v>19337.099999999999</v>
      </c>
      <c r="D5">
        <v>19273.958867000001</v>
      </c>
      <c r="E5">
        <v>286.05232999999998</v>
      </c>
      <c r="F5">
        <v>18987.906537999999</v>
      </c>
      <c r="G5">
        <v>19560.011197</v>
      </c>
      <c r="H5">
        <f t="shared" si="0"/>
        <v>3.2652845049152852E-3</v>
      </c>
    </row>
    <row r="6" spans="1:11" x14ac:dyDescent="0.3">
      <c r="A6">
        <v>4</v>
      </c>
      <c r="B6">
        <v>25000</v>
      </c>
      <c r="C6">
        <v>24143.8</v>
      </c>
      <c r="D6">
        <v>24064.130982999999</v>
      </c>
      <c r="E6">
        <v>356.23259200000001</v>
      </c>
      <c r="F6">
        <v>23707.898390999999</v>
      </c>
      <c r="G6">
        <v>24420.363574999999</v>
      </c>
      <c r="H6">
        <f t="shared" si="0"/>
        <v>3.2997712456200004E-3</v>
      </c>
    </row>
    <row r="7" spans="1:11" x14ac:dyDescent="0.3">
      <c r="A7">
        <v>5</v>
      </c>
      <c r="B7">
        <v>30000</v>
      </c>
      <c r="C7">
        <v>28942.166667000001</v>
      </c>
      <c r="D7">
        <v>28910.286972999998</v>
      </c>
      <c r="E7">
        <v>404.211006</v>
      </c>
      <c r="F7">
        <v>28506.075967000001</v>
      </c>
      <c r="G7">
        <v>29314.497977999999</v>
      </c>
      <c r="H7">
        <f t="shared" si="0"/>
        <v>1.1014964555626137E-3</v>
      </c>
    </row>
    <row r="8" spans="1:11" x14ac:dyDescent="0.3">
      <c r="A8">
        <v>6</v>
      </c>
      <c r="B8">
        <v>35000</v>
      </c>
      <c r="C8">
        <v>33734.733332999996</v>
      </c>
      <c r="D8">
        <v>33752.694393999998</v>
      </c>
      <c r="E8">
        <v>507.47297600000002</v>
      </c>
      <c r="F8">
        <v>33245.221418000001</v>
      </c>
      <c r="G8">
        <v>34260.167369000003</v>
      </c>
      <c r="H8">
        <f t="shared" si="0"/>
        <v>5.3242042326838012E-4</v>
      </c>
    </row>
    <row r="9" spans="1:11" x14ac:dyDescent="0.3">
      <c r="A9">
        <v>7</v>
      </c>
      <c r="B9">
        <v>40000</v>
      </c>
      <c r="C9">
        <v>38522.333333000002</v>
      </c>
      <c r="D9">
        <v>38505.189758</v>
      </c>
      <c r="E9">
        <v>614.57987900000001</v>
      </c>
      <c r="F9">
        <v>37890.609880000004</v>
      </c>
      <c r="G9">
        <v>39119.769636999998</v>
      </c>
      <c r="H9">
        <f t="shared" si="0"/>
        <v>4.4502950669698661E-4</v>
      </c>
    </row>
    <row r="10" spans="1:11" x14ac:dyDescent="0.3">
      <c r="A10">
        <v>8</v>
      </c>
      <c r="B10">
        <v>45000</v>
      </c>
      <c r="C10">
        <v>43303.7</v>
      </c>
      <c r="D10">
        <v>43285.528121000003</v>
      </c>
      <c r="E10">
        <v>738.06215099999997</v>
      </c>
      <c r="F10">
        <v>42547.465970999998</v>
      </c>
      <c r="G10">
        <v>44023.590272000001</v>
      </c>
      <c r="H10">
        <f t="shared" si="0"/>
        <v>4.196380216931597E-4</v>
      </c>
    </row>
    <row r="11" spans="1:11" x14ac:dyDescent="0.3">
      <c r="A11">
        <v>9</v>
      </c>
      <c r="B11">
        <v>50000</v>
      </c>
      <c r="C11">
        <v>48082.333333000002</v>
      </c>
      <c r="D11">
        <v>48059.664110999998</v>
      </c>
      <c r="E11">
        <v>811.81059800000003</v>
      </c>
      <c r="F11">
        <v>47247.853514000002</v>
      </c>
      <c r="G11">
        <v>48871.474709000002</v>
      </c>
      <c r="H11">
        <f t="shared" si="0"/>
        <v>4.7146676187708386E-4</v>
      </c>
    </row>
    <row r="12" spans="1:11" x14ac:dyDescent="0.3">
      <c r="A12">
        <v>10</v>
      </c>
      <c r="B12">
        <v>55000</v>
      </c>
      <c r="C12">
        <v>52851.6</v>
      </c>
      <c r="D12">
        <v>52794.466479000002</v>
      </c>
      <c r="E12">
        <v>925.69309499999997</v>
      </c>
      <c r="F12">
        <v>51868.773384</v>
      </c>
      <c r="G12">
        <v>53720.159572999997</v>
      </c>
      <c r="H12">
        <f t="shared" si="0"/>
        <v>1.0810178121380641E-3</v>
      </c>
    </row>
    <row r="13" spans="1:11" x14ac:dyDescent="0.3">
      <c r="A13">
        <v>11</v>
      </c>
      <c r="B13">
        <v>60000</v>
      </c>
      <c r="C13">
        <v>57622.466667000001</v>
      </c>
      <c r="D13">
        <v>57583.111125000003</v>
      </c>
      <c r="E13">
        <v>962.74267399999997</v>
      </c>
      <c r="F13">
        <v>56620.368451000002</v>
      </c>
      <c r="G13">
        <v>58545.853797999996</v>
      </c>
      <c r="H13">
        <f t="shared" si="0"/>
        <v>6.8298953995553553E-4</v>
      </c>
    </row>
    <row r="14" spans="1:11" x14ac:dyDescent="0.3">
      <c r="A14">
        <v>12</v>
      </c>
      <c r="B14">
        <v>65000</v>
      </c>
      <c r="C14">
        <v>62386.066666999999</v>
      </c>
      <c r="D14">
        <v>62356.844612000001</v>
      </c>
      <c r="E14">
        <v>1027.99029</v>
      </c>
      <c r="F14">
        <v>61328.854323</v>
      </c>
      <c r="G14">
        <v>63384.834902000002</v>
      </c>
      <c r="H14">
        <f t="shared" si="0"/>
        <v>4.6840675428341734E-4</v>
      </c>
    </row>
    <row r="15" spans="1:11" x14ac:dyDescent="0.3">
      <c r="A15">
        <v>13</v>
      </c>
      <c r="B15">
        <v>70000</v>
      </c>
      <c r="C15">
        <v>67143.100000000006</v>
      </c>
      <c r="D15">
        <v>67072.483097000004</v>
      </c>
      <c r="E15">
        <v>1252.222436</v>
      </c>
      <c r="F15">
        <v>65820.260660999993</v>
      </c>
      <c r="G15">
        <v>68324.705533</v>
      </c>
      <c r="H15">
        <f t="shared" si="0"/>
        <v>1.0517373043544595E-3</v>
      </c>
    </row>
    <row r="16" spans="1:11" x14ac:dyDescent="0.3">
      <c r="A16">
        <v>14</v>
      </c>
      <c r="B16">
        <v>75000</v>
      </c>
      <c r="C16">
        <v>71903.366666999995</v>
      </c>
      <c r="D16">
        <v>71852.449393000003</v>
      </c>
      <c r="E16">
        <v>1197.831263</v>
      </c>
      <c r="F16">
        <v>70654.618130000003</v>
      </c>
      <c r="G16">
        <v>73050.280656000003</v>
      </c>
      <c r="H16">
        <f t="shared" si="0"/>
        <v>7.081347697639953E-4</v>
      </c>
    </row>
    <row r="17" spans="1:8" x14ac:dyDescent="0.3">
      <c r="A17">
        <v>15</v>
      </c>
      <c r="B17">
        <v>80000</v>
      </c>
      <c r="C17">
        <v>76660.3</v>
      </c>
      <c r="D17">
        <v>76767.081399999995</v>
      </c>
      <c r="E17">
        <v>1315.3288250000001</v>
      </c>
      <c r="F17">
        <v>75451.752575000006</v>
      </c>
      <c r="G17">
        <v>78082.410224000007</v>
      </c>
      <c r="H17">
        <f t="shared" si="0"/>
        <v>1.3929165421997119E-3</v>
      </c>
    </row>
    <row r="18" spans="1:8" x14ac:dyDescent="0.3">
      <c r="A18">
        <v>16</v>
      </c>
      <c r="B18">
        <v>85000</v>
      </c>
      <c r="C18">
        <v>81409.2</v>
      </c>
      <c r="D18">
        <v>81476.508663000001</v>
      </c>
      <c r="E18">
        <v>1377.257834</v>
      </c>
      <c r="F18">
        <v>80099.250828999997</v>
      </c>
      <c r="G18">
        <v>82853.766497000004</v>
      </c>
      <c r="H18">
        <f t="shared" si="0"/>
        <v>8.2679430580331751E-4</v>
      </c>
    </row>
    <row r="19" spans="1:8" x14ac:dyDescent="0.3">
      <c r="A19">
        <v>17</v>
      </c>
      <c r="B19">
        <v>90000</v>
      </c>
      <c r="C19">
        <v>86154.666666999998</v>
      </c>
      <c r="D19">
        <v>86343.298141000007</v>
      </c>
      <c r="E19">
        <v>1520.9316409999999</v>
      </c>
      <c r="F19">
        <v>84822.366498999996</v>
      </c>
      <c r="G19">
        <v>87864.229781999995</v>
      </c>
      <c r="H19">
        <f t="shared" si="0"/>
        <v>2.189451614142926E-3</v>
      </c>
    </row>
    <row r="20" spans="1:8" x14ac:dyDescent="0.3">
      <c r="A20">
        <v>18</v>
      </c>
      <c r="B20">
        <v>95000</v>
      </c>
      <c r="C20">
        <v>90898.3</v>
      </c>
      <c r="D20">
        <v>91085.479412000001</v>
      </c>
      <c r="E20">
        <v>1624.9137969999999</v>
      </c>
      <c r="F20">
        <v>89460.565615</v>
      </c>
      <c r="G20">
        <v>92710.393209999995</v>
      </c>
      <c r="H20">
        <f t="shared" si="0"/>
        <v>2.0592179611719657E-3</v>
      </c>
    </row>
    <row r="21" spans="1:8" x14ac:dyDescent="0.3">
      <c r="A21">
        <v>19</v>
      </c>
      <c r="B21">
        <v>100000</v>
      </c>
      <c r="C21">
        <v>95634.5</v>
      </c>
      <c r="D21">
        <v>95924.554634</v>
      </c>
      <c r="E21">
        <v>1541.070929</v>
      </c>
      <c r="F21">
        <v>94383.483705999999</v>
      </c>
      <c r="G21">
        <v>97465.625562999994</v>
      </c>
      <c r="H21">
        <f t="shared" si="0"/>
        <v>3.0329497618537251E-3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Laptop.uz</dc:creator>
  <cp:lastModifiedBy>Элина Кочарян</cp:lastModifiedBy>
  <dcterms:created xsi:type="dcterms:W3CDTF">2026-02-08T16:37:12Z</dcterms:created>
  <dcterms:modified xsi:type="dcterms:W3CDTF">2026-02-08T19:45:13Z</dcterms:modified>
</cp:coreProperties>
</file>