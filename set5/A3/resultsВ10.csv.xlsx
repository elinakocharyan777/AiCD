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lina\new_folder\new_folder\SET\set5-a3\"/>
    </mc:Choice>
  </mc:AlternateContent>
  <xr:revisionPtr revIDLastSave="0" documentId="13_ncr:1_{542D0981-E123-4368-A4B4-B0BDF4131AF0}" xr6:coauthVersionLast="47" xr6:coauthVersionMax="47" xr10:uidLastSave="{00000000-0000-0000-0000-000000000000}"/>
  <bookViews>
    <workbookView xWindow="-108" yWindow="-108" windowWidth="23256" windowHeight="12456" xr2:uid="{4E06F680-E07F-4DF4-8C65-7F864883CCA3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" i="1"/>
</calcChain>
</file>

<file path=xl/sharedStrings.xml><?xml version="1.0" encoding="utf-8"?>
<sst xmlns="http://schemas.openxmlformats.org/spreadsheetml/2006/main" count="8" uniqueCount="8">
  <si>
    <t>step</t>
  </si>
  <si>
    <t>processed</t>
  </si>
  <si>
    <t>F0_mean</t>
  </si>
  <si>
    <t>Nt_mean</t>
  </si>
  <si>
    <t>Nt_sd</t>
  </si>
  <si>
    <t>Nt_minus_sd</t>
  </si>
  <si>
    <t>Nt_plus_sd</t>
  </si>
  <si>
    <t>Band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</si>
</sst>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rgbClr val="C00000"/>
                </a:solidFill>
              </a:rPr>
              <a:t>График</a:t>
            </a:r>
            <a:r>
              <a:rPr lang="ru-RU" b="1" baseline="0">
                <a:solidFill>
                  <a:srgbClr val="C00000"/>
                </a:solidFill>
              </a:rPr>
              <a:t> </a:t>
            </a:r>
            <a:r>
              <a:rPr lang="ru-RU" b="1">
                <a:solidFill>
                  <a:srgbClr val="C00000"/>
                </a:solidFill>
              </a:rPr>
              <a:t>1.</a:t>
            </a:r>
            <a:r>
              <a:rPr lang="ru-RU" b="1" baseline="0">
                <a:solidFill>
                  <a:srgbClr val="C00000"/>
                </a:solidFill>
              </a:rPr>
              <a:t> </a:t>
            </a:r>
          </a:p>
          <a:p>
            <a:pPr>
              <a:defRPr/>
            </a:pPr>
            <a:r>
              <a:rPr lang="ru-RU" b="1" baseline="0">
                <a:solidFill>
                  <a:srgbClr val="C00000"/>
                </a:solidFill>
              </a:rPr>
              <a:t>Сравнение оценки </a:t>
            </a:r>
            <a:r>
              <a:rPr lang="en-US" b="1" baseline="0">
                <a:solidFill>
                  <a:srgbClr val="C00000"/>
                </a:solidFill>
              </a:rPr>
              <a:t>Nt </a:t>
            </a:r>
            <a:r>
              <a:rPr lang="ru-RU" b="1" baseline="0">
                <a:solidFill>
                  <a:srgbClr val="C00000"/>
                </a:solidFill>
              </a:rPr>
              <a:t>и точного значения </a:t>
            </a:r>
            <a:r>
              <a:rPr lang="en-US" b="1" baseline="0">
                <a:solidFill>
                  <a:srgbClr val="C00000"/>
                </a:solidFill>
              </a:rPr>
              <a:t>F0^t</a:t>
            </a:r>
            <a:endParaRPr lang="en-US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results!$C$1</c:f>
              <c:strCache>
                <c:ptCount val="1"/>
                <c:pt idx="0">
                  <c:v>F0_mean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results!$B$2:$B$21</c:f>
              <c:numCache>
                <c:formatCode>General</c:formatCode>
                <c:ptCount val="2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55000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</c:numCache>
            </c:numRef>
          </c:xVal>
          <c:yVal>
            <c:numRef>
              <c:f>results!$C$2:$C$21</c:f>
              <c:numCache>
                <c:formatCode>General</c:formatCode>
                <c:ptCount val="20"/>
                <c:pt idx="0">
                  <c:v>4887.1000000000004</c:v>
                </c:pt>
                <c:pt idx="1">
                  <c:v>9712.8666670000002</c:v>
                </c:pt>
                <c:pt idx="2">
                  <c:v>14529.566666999999</c:v>
                </c:pt>
                <c:pt idx="3">
                  <c:v>19337.099999999999</c:v>
                </c:pt>
                <c:pt idx="4">
                  <c:v>24143.8</c:v>
                </c:pt>
                <c:pt idx="5">
                  <c:v>28942.166667000001</c:v>
                </c:pt>
                <c:pt idx="6">
                  <c:v>33734.733332999996</c:v>
                </c:pt>
                <c:pt idx="7">
                  <c:v>38522.333333000002</c:v>
                </c:pt>
                <c:pt idx="8">
                  <c:v>43303.7</c:v>
                </c:pt>
                <c:pt idx="9">
                  <c:v>48082.333333000002</c:v>
                </c:pt>
                <c:pt idx="10">
                  <c:v>52851.6</c:v>
                </c:pt>
                <c:pt idx="11">
                  <c:v>57622.466667000001</c:v>
                </c:pt>
                <c:pt idx="12">
                  <c:v>62386.066666999999</c:v>
                </c:pt>
                <c:pt idx="13">
                  <c:v>67143.100000000006</c:v>
                </c:pt>
                <c:pt idx="14">
                  <c:v>71903.366666999995</c:v>
                </c:pt>
                <c:pt idx="15">
                  <c:v>76660.3</c:v>
                </c:pt>
                <c:pt idx="16">
                  <c:v>81409.2</c:v>
                </c:pt>
                <c:pt idx="17">
                  <c:v>86154.666666999998</c:v>
                </c:pt>
                <c:pt idx="18">
                  <c:v>90898.3</c:v>
                </c:pt>
                <c:pt idx="19">
                  <c:v>95634.5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A8-45D0-BCCF-AE28370565BE}"/>
            </c:ext>
          </c:extLst>
        </c:ser>
        <c:ser>
          <c:idx val="1"/>
          <c:order val="1"/>
          <c:tx>
            <c:strRef>
              <c:f>results!$D$1</c:f>
              <c:strCache>
                <c:ptCount val="1"/>
                <c:pt idx="0">
                  <c:v>Nt_mean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results!$B$2:$B$21</c:f>
              <c:numCache>
                <c:formatCode>General</c:formatCode>
                <c:ptCount val="2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55000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</c:numCache>
            </c:numRef>
          </c:xVal>
          <c:yVal>
            <c:numRef>
              <c:f>results!$D$2:$D$21</c:f>
              <c:numCache>
                <c:formatCode>General</c:formatCode>
                <c:ptCount val="20"/>
                <c:pt idx="0">
                  <c:v>4926.43905</c:v>
                </c:pt>
                <c:pt idx="1">
                  <c:v>9732.9729360000001</c:v>
                </c:pt>
                <c:pt idx="2">
                  <c:v>14494.689700000001</c:v>
                </c:pt>
                <c:pt idx="3">
                  <c:v>19192.729556999999</c:v>
                </c:pt>
                <c:pt idx="4">
                  <c:v>23978.913479999999</c:v>
                </c:pt>
                <c:pt idx="5">
                  <c:v>28922.343852999998</c:v>
                </c:pt>
                <c:pt idx="6">
                  <c:v>33910.629156000003</c:v>
                </c:pt>
                <c:pt idx="7">
                  <c:v>38869.783349999998</c:v>
                </c:pt>
                <c:pt idx="8">
                  <c:v>43452.558235999997</c:v>
                </c:pt>
                <c:pt idx="9">
                  <c:v>48346.898022000001</c:v>
                </c:pt>
                <c:pt idx="10">
                  <c:v>53191.470784999998</c:v>
                </c:pt>
                <c:pt idx="11">
                  <c:v>58111.283739999999</c:v>
                </c:pt>
                <c:pt idx="12">
                  <c:v>62755.118766</c:v>
                </c:pt>
                <c:pt idx="13">
                  <c:v>67494.733059999999</c:v>
                </c:pt>
                <c:pt idx="14">
                  <c:v>72551.242538999999</c:v>
                </c:pt>
                <c:pt idx="15">
                  <c:v>77465.297305999993</c:v>
                </c:pt>
                <c:pt idx="16">
                  <c:v>82102.848343999998</c:v>
                </c:pt>
                <c:pt idx="17">
                  <c:v>86935.569883999997</c:v>
                </c:pt>
                <c:pt idx="18">
                  <c:v>91870.236061999996</c:v>
                </c:pt>
                <c:pt idx="19">
                  <c:v>96487.775143999999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A8-45D0-BCCF-AE2837056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1565024"/>
        <c:axId val="1311581824"/>
      </c:scatterChart>
      <c:valAx>
        <c:axId val="1311565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002060"/>
                    </a:solidFill>
                  </a:rPr>
                  <a:t>processed</a:t>
                </a:r>
                <a:r>
                  <a:rPr lang="ru-RU" b="1">
                    <a:solidFill>
                      <a:srgbClr val="002060"/>
                    </a:solidFill>
                  </a:rPr>
                  <a:t> </a:t>
                </a:r>
                <a:r>
                  <a:rPr lang="en-US" b="1">
                    <a:solidFill>
                      <a:srgbClr val="002060"/>
                    </a:solidFill>
                  </a:rPr>
                  <a:t>(</a:t>
                </a:r>
                <a:r>
                  <a:rPr lang="ru-RU" b="1">
                    <a:solidFill>
                      <a:srgbClr val="002060"/>
                    </a:solidFill>
                  </a:rPr>
                  <a:t>размер</a:t>
                </a:r>
                <a:r>
                  <a:rPr lang="ru-RU" b="1" baseline="0">
                    <a:solidFill>
                      <a:srgbClr val="002060"/>
                    </a:solidFill>
                  </a:rPr>
                  <a:t> обработанной части потока)</a:t>
                </a:r>
                <a:endParaRPr lang="ru-RU" b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1581824"/>
        <c:crosses val="autoZero"/>
        <c:crossBetween val="midCat"/>
      </c:valAx>
      <c:valAx>
        <c:axId val="1311581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rgbClr val="002060"/>
                    </a:solidFill>
                  </a:rPr>
                  <a:t>Nt (</a:t>
                </a:r>
                <a:r>
                  <a:rPr lang="ru-RU" b="1">
                    <a:solidFill>
                      <a:srgbClr val="002060"/>
                    </a:solidFill>
                  </a:rPr>
                  <a:t>число</a:t>
                </a:r>
                <a:r>
                  <a:rPr lang="ru-RU" b="1" baseline="0">
                    <a:solidFill>
                      <a:srgbClr val="002060"/>
                    </a:solidFill>
                  </a:rPr>
                  <a:t> уникальных элементов)</a:t>
                </a:r>
                <a:endParaRPr lang="ru-RU" b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115650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solidFill>
                  <a:srgbClr val="C00000"/>
                </a:solidFill>
              </a:rPr>
              <a:t>График</a:t>
            </a:r>
            <a:r>
              <a:rPr lang="ru-RU" b="1" baseline="0">
                <a:solidFill>
                  <a:srgbClr val="C00000"/>
                </a:solidFill>
              </a:rPr>
              <a:t> 2.</a:t>
            </a:r>
          </a:p>
          <a:p>
            <a:pPr>
              <a:defRPr/>
            </a:pPr>
            <a:r>
              <a:rPr lang="en-US" b="1" baseline="0">
                <a:solidFill>
                  <a:srgbClr val="C00000"/>
                </a:solidFill>
              </a:rPr>
              <a:t>E(Nt) </a:t>
            </a:r>
            <a:r>
              <a:rPr lang="ru-RU" b="1" baseline="0">
                <a:solidFill>
                  <a:srgbClr val="C00000"/>
                </a:solidFill>
              </a:rPr>
              <a:t>и область неопределенности </a:t>
            </a:r>
            <a:r>
              <a:rPr lang="en-US" b="1" baseline="0">
                <a:solidFill>
                  <a:srgbClr val="C00000"/>
                </a:solidFill>
              </a:rPr>
              <a:t>E(Nt) +-</a:t>
            </a:r>
            <a:r>
              <a:rPr lang="ru-RU" b="1" baseline="0">
                <a:solidFill>
                  <a:srgbClr val="C00000"/>
                </a:solidFill>
              </a:rPr>
              <a:t> </a:t>
            </a:r>
            <a:r>
              <a:rPr lang="ru-RU" sz="1400" b="1" i="0" u="none" strike="noStrike" kern="1200" spc="0" baseline="0">
                <a:solidFill>
                  <a:srgbClr val="C00000"/>
                </a:solidFill>
                <a:latin typeface="Cambria Math" panose="02040503050406030204" pitchFamily="18" charset="0"/>
              </a:rPr>
              <a:t>𝜎</a:t>
            </a:r>
            <a:endParaRPr lang="ru-RU" b="1">
              <a:solidFill>
                <a:srgbClr val="C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results!$F$1</c:f>
              <c:strCache>
                <c:ptCount val="1"/>
                <c:pt idx="0">
                  <c:v>Nt_minus_sd</c:v>
                </c:pt>
              </c:strCache>
            </c:strRef>
          </c:tx>
          <c:spPr>
            <a:noFill/>
            <a:ln>
              <a:noFill/>
            </a:ln>
            <a:effectLst/>
          </c:spPr>
          <c:cat>
            <c:numRef>
              <c:f>results!$B$2:$B$21</c:f>
              <c:numCache>
                <c:formatCode>General</c:formatCode>
                <c:ptCount val="2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55000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</c:numCache>
            </c:numRef>
          </c:cat>
          <c:val>
            <c:numRef>
              <c:f>results!$F$2:$F$21</c:f>
              <c:numCache>
                <c:formatCode>General</c:formatCode>
                <c:ptCount val="20"/>
                <c:pt idx="0">
                  <c:v>4792.7373829999997</c:v>
                </c:pt>
                <c:pt idx="1">
                  <c:v>9465.2856030000003</c:v>
                </c:pt>
                <c:pt idx="2">
                  <c:v>14002.411305</c:v>
                </c:pt>
                <c:pt idx="3">
                  <c:v>18518.65972</c:v>
                </c:pt>
                <c:pt idx="4">
                  <c:v>23245.861226000001</c:v>
                </c:pt>
                <c:pt idx="5">
                  <c:v>28087.382208999999</c:v>
                </c:pt>
                <c:pt idx="6">
                  <c:v>32858.027030999998</c:v>
                </c:pt>
                <c:pt idx="7">
                  <c:v>37610.729510999998</c:v>
                </c:pt>
                <c:pt idx="8">
                  <c:v>42030.580791</c:v>
                </c:pt>
                <c:pt idx="9">
                  <c:v>46818.004544000003</c:v>
                </c:pt>
                <c:pt idx="10">
                  <c:v>51613.986688999998</c:v>
                </c:pt>
                <c:pt idx="11">
                  <c:v>56770.917705</c:v>
                </c:pt>
                <c:pt idx="12">
                  <c:v>61116.690437999998</c:v>
                </c:pt>
                <c:pt idx="13">
                  <c:v>65463.573859999997</c:v>
                </c:pt>
                <c:pt idx="14">
                  <c:v>70476.437273999996</c:v>
                </c:pt>
                <c:pt idx="15">
                  <c:v>75114.357806999993</c:v>
                </c:pt>
                <c:pt idx="16">
                  <c:v>80069.494554999997</c:v>
                </c:pt>
                <c:pt idx="17">
                  <c:v>84666.703355000005</c:v>
                </c:pt>
                <c:pt idx="18">
                  <c:v>89179.343236000001</c:v>
                </c:pt>
                <c:pt idx="19">
                  <c:v>93373.605079000001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D-40EC-A8A5-CB4E8EDFB814}"/>
            </c:ext>
          </c:extLst>
        </c:ser>
        <c:ser>
          <c:idx val="1"/>
          <c:order val="1"/>
          <c:tx>
            <c:strRef>
              <c:f>results!$H$1</c:f>
              <c:strCache>
                <c:ptCount val="1"/>
                <c:pt idx="0">
                  <c:v>Band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cat>
            <c:numRef>
              <c:f>results!$B$2:$B$21</c:f>
              <c:numCache>
                <c:formatCode>General</c:formatCode>
                <c:ptCount val="20"/>
                <c:pt idx="0">
                  <c:v>5000</c:v>
                </c:pt>
                <c:pt idx="1">
                  <c:v>10000</c:v>
                </c:pt>
                <c:pt idx="2">
                  <c:v>15000</c:v>
                </c:pt>
                <c:pt idx="3">
                  <c:v>20000</c:v>
                </c:pt>
                <c:pt idx="4">
                  <c:v>25000</c:v>
                </c:pt>
                <c:pt idx="5">
                  <c:v>30000</c:v>
                </c:pt>
                <c:pt idx="6">
                  <c:v>35000</c:v>
                </c:pt>
                <c:pt idx="7">
                  <c:v>40000</c:v>
                </c:pt>
                <c:pt idx="8">
                  <c:v>45000</c:v>
                </c:pt>
                <c:pt idx="9">
                  <c:v>50000</c:v>
                </c:pt>
                <c:pt idx="10">
                  <c:v>55000</c:v>
                </c:pt>
                <c:pt idx="11">
                  <c:v>60000</c:v>
                </c:pt>
                <c:pt idx="12">
                  <c:v>65000</c:v>
                </c:pt>
                <c:pt idx="13">
                  <c:v>70000</c:v>
                </c:pt>
                <c:pt idx="14">
                  <c:v>75000</c:v>
                </c:pt>
                <c:pt idx="15">
                  <c:v>80000</c:v>
                </c:pt>
                <c:pt idx="16">
                  <c:v>85000</c:v>
                </c:pt>
                <c:pt idx="17">
                  <c:v>90000</c:v>
                </c:pt>
                <c:pt idx="18">
                  <c:v>95000</c:v>
                </c:pt>
                <c:pt idx="19">
                  <c:v>100000</c:v>
                </c:pt>
              </c:numCache>
            </c:numRef>
          </c:cat>
          <c:val>
            <c:numRef>
              <c:f>results!$H$2:$H$21</c:f>
              <c:numCache>
                <c:formatCode>General</c:formatCode>
                <c:ptCount val="20"/>
                <c:pt idx="0">
                  <c:v>267.40333499999997</c:v>
                </c:pt>
                <c:pt idx="1">
                  <c:v>535.37466599999971</c:v>
                </c:pt>
                <c:pt idx="2">
                  <c:v>984.55678900000021</c:v>
                </c:pt>
                <c:pt idx="3">
                  <c:v>1348.1396740000018</c:v>
                </c:pt>
                <c:pt idx="4">
                  <c:v>1466.1045090000007</c:v>
                </c:pt>
                <c:pt idx="5">
                  <c:v>1669.9232890000021</c:v>
                </c:pt>
                <c:pt idx="6">
                  <c:v>2105.2042490000022</c:v>
                </c:pt>
                <c:pt idx="7">
                  <c:v>2518.107677</c:v>
                </c:pt>
                <c:pt idx="8">
                  <c:v>2843.9548900000009</c:v>
                </c:pt>
                <c:pt idx="9">
                  <c:v>3057.7869569999966</c:v>
                </c:pt>
                <c:pt idx="10">
                  <c:v>3154.9681920000003</c:v>
                </c:pt>
                <c:pt idx="11">
                  <c:v>2680.7320699999982</c:v>
                </c:pt>
                <c:pt idx="12">
                  <c:v>3276.8566550000032</c:v>
                </c:pt>
                <c:pt idx="13">
                  <c:v>4062.3183999999965</c:v>
                </c:pt>
                <c:pt idx="14">
                  <c:v>4149.6105289999978</c:v>
                </c:pt>
                <c:pt idx="15">
                  <c:v>4701.8789970000071</c:v>
                </c:pt>
                <c:pt idx="16">
                  <c:v>4066.7075780000014</c:v>
                </c:pt>
                <c:pt idx="17">
                  <c:v>4537.7330569999904</c:v>
                </c:pt>
                <c:pt idx="18">
                  <c:v>5381.7856509999983</c:v>
                </c:pt>
                <c:pt idx="19">
                  <c:v>6228.3401299999969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7D-40EC-A8A5-CB4E8EDFB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534688"/>
        <c:axId val="1452539008"/>
      </c:areaChart>
      <c:lineChart>
        <c:grouping val="standard"/>
        <c:varyColors val="0"/>
        <c:ser>
          <c:idx val="2"/>
          <c:order val="2"/>
          <c:tx>
            <c:strRef>
              <c:f>results!$D$1</c:f>
              <c:strCache>
                <c:ptCount val="1"/>
                <c:pt idx="0">
                  <c:v>Nt_mean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results!$D$2:$D$21</c:f>
              <c:numCache>
                <c:formatCode>General</c:formatCode>
                <c:ptCount val="20"/>
                <c:pt idx="0">
                  <c:v>4926.43905</c:v>
                </c:pt>
                <c:pt idx="1">
                  <c:v>9732.9729360000001</c:v>
                </c:pt>
                <c:pt idx="2">
                  <c:v>14494.689700000001</c:v>
                </c:pt>
                <c:pt idx="3">
                  <c:v>19192.729556999999</c:v>
                </c:pt>
                <c:pt idx="4">
                  <c:v>23978.913479999999</c:v>
                </c:pt>
                <c:pt idx="5">
                  <c:v>28922.343852999998</c:v>
                </c:pt>
                <c:pt idx="6">
                  <c:v>33910.629156000003</c:v>
                </c:pt>
                <c:pt idx="7">
                  <c:v>38869.783349999998</c:v>
                </c:pt>
                <c:pt idx="8">
                  <c:v>43452.558235999997</c:v>
                </c:pt>
                <c:pt idx="9">
                  <c:v>48346.898022000001</c:v>
                </c:pt>
                <c:pt idx="10">
                  <c:v>53191.470784999998</c:v>
                </c:pt>
                <c:pt idx="11">
                  <c:v>58111.283739999999</c:v>
                </c:pt>
                <c:pt idx="12">
                  <c:v>62755.118766</c:v>
                </c:pt>
                <c:pt idx="13">
                  <c:v>67494.733059999999</c:v>
                </c:pt>
                <c:pt idx="14">
                  <c:v>72551.242538999999</c:v>
                </c:pt>
                <c:pt idx="15">
                  <c:v>77465.297305999993</c:v>
                </c:pt>
                <c:pt idx="16">
                  <c:v>82102.848343999998</c:v>
                </c:pt>
                <c:pt idx="17">
                  <c:v>86935.569883999997</c:v>
                </c:pt>
                <c:pt idx="18">
                  <c:v>91870.236061999996</c:v>
                </c:pt>
                <c:pt idx="19">
                  <c:v>96487.775143999999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7D-40EC-A8A5-CB4E8EDFB8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2534688"/>
        <c:axId val="1452539008"/>
      </c:lineChart>
      <c:catAx>
        <c:axId val="1452534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1" i="0" u="none" strike="noStrike" kern="1200" baseline="0">
                    <a:solidFill>
                      <a:srgbClr val="002060"/>
                    </a:solidFill>
                  </a:rPr>
                  <a:t>processed</a:t>
                </a:r>
                <a:endParaRPr lang="ru-RU" sz="1000" b="1" i="0" u="none" strike="noStrike" kern="1200" baseline="0">
                  <a:solidFill>
                    <a:srgbClr val="002060"/>
                  </a:solidFill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ru-RU" b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2539008"/>
        <c:crosses val="autoZero"/>
        <c:auto val="1"/>
        <c:lblAlgn val="ctr"/>
        <c:lblOffset val="100"/>
        <c:noMultiLvlLbl val="0"/>
      </c:catAx>
      <c:valAx>
        <c:axId val="1452539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1" i="0" u="none" strike="noStrike" kern="1200" baseline="0">
                    <a:solidFill>
                      <a:srgbClr val="002060"/>
                    </a:solidFill>
                  </a:rPr>
                  <a:t>Nt</a:t>
                </a:r>
                <a:endParaRPr lang="ru-RU" b="1">
                  <a:solidFill>
                    <a:srgbClr val="00206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253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541020</xdr:colOff>
      <xdr:row>0</xdr:row>
      <xdr:rowOff>60960</xdr:rowOff>
    </xdr:from>
    <xdr:to>
      <xdr:col>16</xdr:col>
      <xdr:colOff>236220</xdr:colOff>
      <xdr:row>15</xdr:row>
      <xdr:rowOff>60960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CC05653-3ED6-321D-5369-ED59836C0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544830</xdr:colOff>
      <xdr:row>16</xdr:row>
      <xdr:rowOff>19050</xdr:rowOff>
    </xdr:from>
    <xdr:to>
      <xdr:col>16</xdr:col>
      <xdr:colOff>240030</xdr:colOff>
      <xdr:row>31</xdr:row>
      <xdr:rowOff>19050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F6F57E7C-A9D1-CCBF-9015-C26F9227FF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4478-9031-44D1-8D50-A40B43D72708}">
  <dimension ref="A1:H21"/>
  <sheetViews>
    <sheetView tabSelected="1" topLeftCell="A13" zoomScaleNormal="100" workbookViewId="0">
      <selection activeCell="S10" sqref="S1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0</v>
      </c>
      <c r="B2">
        <v>5000</v>
      </c>
      <c r="C2">
        <v>4887.1000000000004</v>
      </c>
      <c r="D2">
        <v>4926.43905</v>
      </c>
      <c r="E2">
        <v>133.70166800000001</v>
      </c>
      <c r="F2">
        <v>4792.7373829999997</v>
      </c>
      <c r="G2">
        <v>5060.1407179999997</v>
      </c>
      <c r="H2">
        <f>G2-F2</f>
        <v>267.40333499999997</v>
      </c>
    </row>
    <row r="3" spans="1:8" x14ac:dyDescent="0.3">
      <c r="A3">
        <v>1</v>
      </c>
      <c r="B3">
        <v>10000</v>
      </c>
      <c r="C3">
        <v>9712.8666670000002</v>
      </c>
      <c r="D3">
        <v>9732.9729360000001</v>
      </c>
      <c r="E3">
        <v>267.68733300000002</v>
      </c>
      <c r="F3">
        <v>9465.2856030000003</v>
      </c>
      <c r="G3">
        <v>10000.660269</v>
      </c>
      <c r="H3">
        <f t="shared" ref="H3:H21" si="0">G3-F3</f>
        <v>535.37466599999971</v>
      </c>
    </row>
    <row r="4" spans="1:8" x14ac:dyDescent="0.3">
      <c r="A4">
        <v>2</v>
      </c>
      <c r="B4">
        <v>15000</v>
      </c>
      <c r="C4">
        <v>14529.566666999999</v>
      </c>
      <c r="D4">
        <v>14494.689700000001</v>
      </c>
      <c r="E4">
        <v>492.27839399999999</v>
      </c>
      <c r="F4">
        <v>14002.411305</v>
      </c>
      <c r="G4">
        <v>14986.968094</v>
      </c>
      <c r="H4">
        <f t="shared" si="0"/>
        <v>984.55678900000021</v>
      </c>
    </row>
    <row r="5" spans="1:8" x14ac:dyDescent="0.3">
      <c r="A5">
        <v>3</v>
      </c>
      <c r="B5">
        <v>20000</v>
      </c>
      <c r="C5">
        <v>19337.099999999999</v>
      </c>
      <c r="D5">
        <v>19192.729556999999</v>
      </c>
      <c r="E5">
        <v>674.06983700000001</v>
      </c>
      <c r="F5">
        <v>18518.65972</v>
      </c>
      <c r="G5">
        <v>19866.799394000001</v>
      </c>
      <c r="H5">
        <f t="shared" si="0"/>
        <v>1348.1396740000018</v>
      </c>
    </row>
    <row r="6" spans="1:8" x14ac:dyDescent="0.3">
      <c r="A6">
        <v>4</v>
      </c>
      <c r="B6">
        <v>25000</v>
      </c>
      <c r="C6">
        <v>24143.8</v>
      </c>
      <c r="D6">
        <v>23978.913479999999</v>
      </c>
      <c r="E6">
        <v>733.05225499999995</v>
      </c>
      <c r="F6">
        <v>23245.861226000001</v>
      </c>
      <c r="G6">
        <v>24711.965735000002</v>
      </c>
      <c r="H6">
        <f t="shared" si="0"/>
        <v>1466.1045090000007</v>
      </c>
    </row>
    <row r="7" spans="1:8" x14ac:dyDescent="0.3">
      <c r="A7">
        <v>5</v>
      </c>
      <c r="B7">
        <v>30000</v>
      </c>
      <c r="C7">
        <v>28942.166667000001</v>
      </c>
      <c r="D7">
        <v>28922.343852999998</v>
      </c>
      <c r="E7">
        <v>834.96164499999998</v>
      </c>
      <c r="F7">
        <v>28087.382208999999</v>
      </c>
      <c r="G7">
        <v>29757.305498000002</v>
      </c>
      <c r="H7">
        <f t="shared" si="0"/>
        <v>1669.9232890000021</v>
      </c>
    </row>
    <row r="8" spans="1:8" x14ac:dyDescent="0.3">
      <c r="A8">
        <v>6</v>
      </c>
      <c r="B8">
        <v>35000</v>
      </c>
      <c r="C8">
        <v>33734.733332999996</v>
      </c>
      <c r="D8">
        <v>33910.629156000003</v>
      </c>
      <c r="E8">
        <v>1052.6021249999999</v>
      </c>
      <c r="F8">
        <v>32858.027030999998</v>
      </c>
      <c r="G8">
        <v>34963.23128</v>
      </c>
      <c r="H8">
        <f t="shared" si="0"/>
        <v>2105.2042490000022</v>
      </c>
    </row>
    <row r="9" spans="1:8" x14ac:dyDescent="0.3">
      <c r="A9">
        <v>7</v>
      </c>
      <c r="B9">
        <v>40000</v>
      </c>
      <c r="C9">
        <v>38522.333333000002</v>
      </c>
      <c r="D9">
        <v>38869.783349999998</v>
      </c>
      <c r="E9">
        <v>1259.0538389999999</v>
      </c>
      <c r="F9">
        <v>37610.729510999998</v>
      </c>
      <c r="G9">
        <v>40128.837187999998</v>
      </c>
      <c r="H9">
        <f t="shared" si="0"/>
        <v>2518.107677</v>
      </c>
    </row>
    <row r="10" spans="1:8" x14ac:dyDescent="0.3">
      <c r="A10">
        <v>8</v>
      </c>
      <c r="B10">
        <v>45000</v>
      </c>
      <c r="C10">
        <v>43303.7</v>
      </c>
      <c r="D10">
        <v>43452.558235999997</v>
      </c>
      <c r="E10">
        <v>1421.977445</v>
      </c>
      <c r="F10">
        <v>42030.580791</v>
      </c>
      <c r="G10">
        <v>44874.535681000001</v>
      </c>
      <c r="H10">
        <f t="shared" si="0"/>
        <v>2843.9548900000009</v>
      </c>
    </row>
    <row r="11" spans="1:8" x14ac:dyDescent="0.3">
      <c r="A11">
        <v>9</v>
      </c>
      <c r="B11">
        <v>50000</v>
      </c>
      <c r="C11">
        <v>48082.333333000002</v>
      </c>
      <c r="D11">
        <v>48346.898022000001</v>
      </c>
      <c r="E11">
        <v>1528.893478</v>
      </c>
      <c r="F11">
        <v>46818.004544000003</v>
      </c>
      <c r="G11">
        <v>49875.791501</v>
      </c>
      <c r="H11">
        <f t="shared" si="0"/>
        <v>3057.7869569999966</v>
      </c>
    </row>
    <row r="12" spans="1:8" x14ac:dyDescent="0.3">
      <c r="A12">
        <v>10</v>
      </c>
      <c r="B12">
        <v>55000</v>
      </c>
      <c r="C12">
        <v>52851.6</v>
      </c>
      <c r="D12">
        <v>53191.470784999998</v>
      </c>
      <c r="E12">
        <v>1577.4840959999999</v>
      </c>
      <c r="F12">
        <v>51613.986688999998</v>
      </c>
      <c r="G12">
        <v>54768.954880999998</v>
      </c>
      <c r="H12">
        <f t="shared" si="0"/>
        <v>3154.9681920000003</v>
      </c>
    </row>
    <row r="13" spans="1:8" x14ac:dyDescent="0.3">
      <c r="A13">
        <v>11</v>
      </c>
      <c r="B13">
        <v>60000</v>
      </c>
      <c r="C13">
        <v>57622.466667000001</v>
      </c>
      <c r="D13">
        <v>58111.283739999999</v>
      </c>
      <c r="E13">
        <v>1340.366035</v>
      </c>
      <c r="F13">
        <v>56770.917705</v>
      </c>
      <c r="G13">
        <v>59451.649774999998</v>
      </c>
      <c r="H13">
        <f t="shared" si="0"/>
        <v>2680.7320699999982</v>
      </c>
    </row>
    <row r="14" spans="1:8" x14ac:dyDescent="0.3">
      <c r="A14">
        <v>12</v>
      </c>
      <c r="B14">
        <v>65000</v>
      </c>
      <c r="C14">
        <v>62386.066666999999</v>
      </c>
      <c r="D14">
        <v>62755.118766</v>
      </c>
      <c r="E14">
        <v>1638.428328</v>
      </c>
      <c r="F14">
        <v>61116.690437999998</v>
      </c>
      <c r="G14">
        <v>64393.547093000001</v>
      </c>
      <c r="H14">
        <f t="shared" si="0"/>
        <v>3276.8566550000032</v>
      </c>
    </row>
    <row r="15" spans="1:8" x14ac:dyDescent="0.3">
      <c r="A15">
        <v>13</v>
      </c>
      <c r="B15">
        <v>70000</v>
      </c>
      <c r="C15">
        <v>67143.100000000006</v>
      </c>
      <c r="D15">
        <v>67494.733059999999</v>
      </c>
      <c r="E15">
        <v>2031.1592000000001</v>
      </c>
      <c r="F15">
        <v>65463.573859999997</v>
      </c>
      <c r="G15">
        <v>69525.892259999993</v>
      </c>
      <c r="H15">
        <f t="shared" si="0"/>
        <v>4062.3183999999965</v>
      </c>
    </row>
    <row r="16" spans="1:8" x14ac:dyDescent="0.3">
      <c r="A16">
        <v>14</v>
      </c>
      <c r="B16">
        <v>75000</v>
      </c>
      <c r="C16">
        <v>71903.366666999995</v>
      </c>
      <c r="D16">
        <v>72551.242538999999</v>
      </c>
      <c r="E16">
        <v>2074.8052640000001</v>
      </c>
      <c r="F16">
        <v>70476.437273999996</v>
      </c>
      <c r="G16">
        <v>74626.047802999994</v>
      </c>
      <c r="H16">
        <f t="shared" si="0"/>
        <v>4149.6105289999978</v>
      </c>
    </row>
    <row r="17" spans="1:8" x14ac:dyDescent="0.3">
      <c r="A17">
        <v>15</v>
      </c>
      <c r="B17">
        <v>80000</v>
      </c>
      <c r="C17">
        <v>76660.3</v>
      </c>
      <c r="D17">
        <v>77465.297305999993</v>
      </c>
      <c r="E17">
        <v>2350.9394990000001</v>
      </c>
      <c r="F17">
        <v>75114.357806999993</v>
      </c>
      <c r="G17">
        <v>79816.236804</v>
      </c>
      <c r="H17">
        <f t="shared" si="0"/>
        <v>4701.8789970000071</v>
      </c>
    </row>
    <row r="18" spans="1:8" x14ac:dyDescent="0.3">
      <c r="A18">
        <v>16</v>
      </c>
      <c r="B18">
        <v>85000</v>
      </c>
      <c r="C18">
        <v>81409.2</v>
      </c>
      <c r="D18">
        <v>82102.848343999998</v>
      </c>
      <c r="E18">
        <v>2033.353789</v>
      </c>
      <c r="F18">
        <v>80069.494554999997</v>
      </c>
      <c r="G18">
        <v>84136.202132999999</v>
      </c>
      <c r="H18">
        <f t="shared" si="0"/>
        <v>4066.7075780000014</v>
      </c>
    </row>
    <row r="19" spans="1:8" x14ac:dyDescent="0.3">
      <c r="A19">
        <v>17</v>
      </c>
      <c r="B19">
        <v>90000</v>
      </c>
      <c r="C19">
        <v>86154.666666999998</v>
      </c>
      <c r="D19">
        <v>86935.569883999997</v>
      </c>
      <c r="E19">
        <v>2268.8665289999999</v>
      </c>
      <c r="F19">
        <v>84666.703355000005</v>
      </c>
      <c r="G19">
        <v>89204.436411999995</v>
      </c>
      <c r="H19">
        <f t="shared" si="0"/>
        <v>4537.7330569999904</v>
      </c>
    </row>
    <row r="20" spans="1:8" x14ac:dyDescent="0.3">
      <c r="A20">
        <v>18</v>
      </c>
      <c r="B20">
        <v>95000</v>
      </c>
      <c r="C20">
        <v>90898.3</v>
      </c>
      <c r="D20">
        <v>91870.236061999996</v>
      </c>
      <c r="E20">
        <v>2690.8928259999998</v>
      </c>
      <c r="F20">
        <v>89179.343236000001</v>
      </c>
      <c r="G20">
        <v>94561.128886999999</v>
      </c>
      <c r="H20">
        <f t="shared" si="0"/>
        <v>5381.7856509999983</v>
      </c>
    </row>
    <row r="21" spans="1:8" x14ac:dyDescent="0.3">
      <c r="A21">
        <v>19</v>
      </c>
      <c r="B21">
        <v>100000</v>
      </c>
      <c r="C21">
        <v>95634.5</v>
      </c>
      <c r="D21">
        <v>96487.775143999999</v>
      </c>
      <c r="E21">
        <v>3114.1700649999998</v>
      </c>
      <c r="F21">
        <v>93373.605079000001</v>
      </c>
      <c r="G21">
        <v>99601.945208999998</v>
      </c>
      <c r="H21">
        <f t="shared" si="0"/>
        <v>6228.3401299999969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Laptop.uz</dc:creator>
  <cp:lastModifiedBy>Элина Кочарян</cp:lastModifiedBy>
  <dcterms:created xsi:type="dcterms:W3CDTF">2026-02-08T16:37:12Z</dcterms:created>
  <dcterms:modified xsi:type="dcterms:W3CDTF">2026-02-08T20:45:39Z</dcterms:modified>
</cp:coreProperties>
</file>